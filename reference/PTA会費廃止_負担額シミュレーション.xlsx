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負担額シミュレーション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<sst xmlns="http://schemas.openxmlformats.org/spreadsheetml/2006/main" count="79" uniqueCount="51">
  <si>
    <t xml:space="preserve">保護者 6年間 費用負担シミュレーション　（PTA会費廃止前後の比較）</t>
  </si>
  <si>
    <t xml:space="preserve">※ 学校運営必要経費は年間1,000円、校帽は3,150円（実費）で計算</t>
  </si>
  <si>
    <t xml:space="preserve">■ 前提条件（入力値）</t>
  </si>
  <si>
    <r>
      <rPr>
        <sz val="10"/>
        <color rgb="FF000000"/>
        <rFont val="游ゴシック"/>
        <family val="0"/>
        <charset val="1"/>
      </rPr>
      <t xml:space="preserve">PTA</t>
    </r>
    <r>
      <rPr>
        <sz val="10"/>
        <color rgb="FF000000"/>
        <rFont val="Noto Sans CJK SC"/>
        <family val="2"/>
      </rPr>
      <t xml:space="preserve">年会費（旧制度）</t>
    </r>
  </si>
  <si>
    <t xml:space="preserve">円/年</t>
  </si>
  <si>
    <t xml:space="preserve">学校運営必要経費（新制度）</t>
  </si>
  <si>
    <t xml:space="preserve">校帽費用（実費）</t>
  </si>
  <si>
    <t xml:space="preserve">円（入学時1回）</t>
  </si>
  <si>
    <t xml:space="preserve">在籍年数</t>
  </si>
  <si>
    <t xml:space="preserve">年</t>
  </si>
  <si>
    <t xml:space="preserve">【旧制度】　PTA会費あり（廃止前）</t>
  </si>
  <si>
    <t xml:space="preserve">項目</t>
  </si>
  <si>
    <t xml:space="preserve">年間費用</t>
  </si>
  <si>
    <r>
      <rPr>
        <b val="true"/>
        <sz val="10"/>
        <color rgb="FFFFFFFF"/>
        <rFont val="游ゴシック"/>
        <family val="0"/>
        <charset val="1"/>
      </rPr>
      <t xml:space="preserve">6</t>
    </r>
    <r>
      <rPr>
        <b val="true"/>
        <sz val="10"/>
        <color rgb="FFFFFFFF"/>
        <rFont val="Noto Sans CJK SC"/>
        <family val="2"/>
      </rPr>
      <t xml:space="preserve">年間合計</t>
    </r>
  </si>
  <si>
    <t xml:space="preserve">備考</t>
  </si>
  <si>
    <r>
      <rPr>
        <sz val="10"/>
        <color rgb="FF000000"/>
        <rFont val="游ゴシック"/>
        <family val="0"/>
        <charset val="1"/>
      </rPr>
      <t xml:space="preserve">PTA</t>
    </r>
    <r>
      <rPr>
        <sz val="10"/>
        <color rgb="FF000000"/>
        <rFont val="Noto Sans CJK SC"/>
        <family val="2"/>
      </rPr>
      <t xml:space="preserve">会費</t>
    </r>
  </si>
  <si>
    <t xml:space="preserve">毎年支払い</t>
  </si>
  <si>
    <t xml:space="preserve">校帽（PTA支給）</t>
  </si>
  <si>
    <t xml:space="preserve">0</t>
  </si>
  <si>
    <r>
      <rPr>
        <sz val="10"/>
        <color rgb="FF000000"/>
        <rFont val="游ゴシック"/>
        <family val="0"/>
        <charset val="1"/>
      </rPr>
      <t xml:space="preserve">PTA</t>
    </r>
    <r>
      <rPr>
        <sz val="10"/>
        <color rgb="FF000000"/>
        <rFont val="Noto Sans CJK SC"/>
        <family val="2"/>
      </rPr>
      <t xml:space="preserve">会費から支給（保護者負担なし）</t>
    </r>
  </si>
  <si>
    <t xml:space="preserve">学校運営必要経費</t>
  </si>
  <si>
    <r>
      <rPr>
        <b val="true"/>
        <sz val="10"/>
        <color rgb="FFFFFFFF"/>
        <rFont val="游ゴシック"/>
        <family val="0"/>
        <charset val="1"/>
      </rPr>
      <t xml:space="preserve">6</t>
    </r>
    <r>
      <rPr>
        <b val="true"/>
        <sz val="10"/>
        <color rgb="FFFFFFFF"/>
        <rFont val="Noto Sans CJK SC"/>
        <family val="2"/>
      </rPr>
      <t xml:space="preserve">年間合計（保護者負担）</t>
    </r>
  </si>
  <si>
    <t xml:space="preserve">—</t>
  </si>
  <si>
    <t xml:space="preserve">※校帽はPTAが実質補助していた</t>
  </si>
  <si>
    <t xml:space="preserve">【新制度 ケースA】　新１年生（2026年度入学〜）</t>
  </si>
  <si>
    <t xml:space="preserve">廃止のため0円</t>
  </si>
  <si>
    <t xml:space="preserve">校帽（実費徴収）</t>
  </si>
  <si>
    <t xml:space="preserve">入学時1回のみ</t>
  </si>
  <si>
    <t xml:space="preserve">旧制度比：</t>
  </si>
  <si>
    <t xml:space="preserve">【新制度 ケースB】　新２年生以上（2025年度以前入学・在籍中）</t>
  </si>
  <si>
    <t xml:space="preserve">概算6年間合計</t>
  </si>
  <si>
    <r>
      <rPr>
        <sz val="10"/>
        <color rgb="FF000000"/>
        <rFont val="游ゴシック"/>
        <family val="0"/>
        <charset val="1"/>
      </rPr>
      <t xml:space="preserve">PTA</t>
    </r>
    <r>
      <rPr>
        <sz val="10"/>
        <color rgb="FF000000"/>
        <rFont val="Noto Sans CJK SC"/>
        <family val="2"/>
      </rPr>
      <t xml:space="preserve">会費（在籍済み分）</t>
    </r>
  </si>
  <si>
    <t xml:space="preserve">すでに支払済み</t>
  </si>
  <si>
    <r>
      <rPr>
        <sz val="10"/>
        <color rgb="FF000000"/>
        <rFont val="游ゴシック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年生時に支払い済み</t>
    </r>
  </si>
  <si>
    <t xml:space="preserve">校帽（PTA支給済み）</t>
  </si>
  <si>
    <t xml:space="preserve">入学時にPTAから支給済み</t>
  </si>
  <si>
    <t xml:space="preserve">毎年支払い（変わらず）</t>
  </si>
  <si>
    <r>
      <rPr>
        <sz val="10"/>
        <color rgb="FF000000"/>
        <rFont val="游ゴシック"/>
        <family val="0"/>
        <charset val="1"/>
      </rPr>
      <t xml:space="preserve">PTA</t>
    </r>
    <r>
      <rPr>
        <sz val="10"/>
        <color rgb="FF000000"/>
        <rFont val="Noto Sans CJK SC"/>
        <family val="2"/>
      </rPr>
      <t xml:space="preserve">会費（</t>
    </r>
    <r>
      <rPr>
        <sz val="10"/>
        <color rgb="FF000000"/>
        <rFont val="游ゴシック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年生以降）</t>
    </r>
  </si>
  <si>
    <r>
      <rPr>
        <sz val="10"/>
        <color rgb="FF000000"/>
        <rFont val="游ゴシック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年度から廃止のため</t>
    </r>
    <r>
      <rPr>
        <sz val="10"/>
        <color rgb="FF000000"/>
        <rFont val="游ゴシック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円</t>
    </r>
  </si>
  <si>
    <t xml:space="preserve">■ 比較まとめ</t>
  </si>
  <si>
    <t xml:space="preserve">区分</t>
  </si>
  <si>
    <r>
      <rPr>
        <b val="true"/>
        <sz val="10"/>
        <color rgb="FFFFFFFF"/>
        <rFont val="游ゴシック"/>
        <family val="0"/>
        <charset val="1"/>
      </rPr>
      <t xml:space="preserve">6</t>
    </r>
    <r>
      <rPr>
        <b val="true"/>
        <sz val="10"/>
        <color rgb="FFFFFFFF"/>
        <rFont val="Noto Sans CJK SC"/>
        <family val="2"/>
      </rPr>
      <t xml:space="preserve">年間合計負担額</t>
    </r>
  </si>
  <si>
    <t xml:space="preserve">旧制度との差額</t>
  </si>
  <si>
    <t xml:space="preserve">増減</t>
  </si>
  <si>
    <t xml:space="preserve">旧制度（PTA会費あり）</t>
  </si>
  <si>
    <t xml:space="preserve">基準</t>
  </si>
  <si>
    <t xml:space="preserve">新制度・新１年生</t>
  </si>
  <si>
    <t xml:space="preserve">校帽実費負担だが会費廃止で総額減</t>
  </si>
  <si>
    <t xml:space="preserve">新制度・新２年生以上（在籍中）</t>
  </si>
  <si>
    <t xml:space="preserve">校帽支給済・会費2年目以降免除で大幅減</t>
  </si>
  <si>
    <t xml:space="preserve">【注意事項】　新２年生以上は1年生時にPTA会費2,640円を支払済みのため、旧制度ベースの6年間合計に含めて比較しています。校帽は入学時に支給済みのため追加負担なし。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</si>
</sst>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\¥#,##0"/>
    <numFmt numFmtId="167" formatCode="\¥#,##0;&quot;(¥&quot;#,##0\);\-"/>
    <numFmt numFmtId="168" formatCode="\¥#,##0"/>
  </numFmts>
  <fonts count="3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Noto Sans CJK SC"/>
      <family val="2"/>
      <charset val="1"/>
    </font>
    <font>
      <sz val="10"/>
      <color rgb="FF595959"/>
      <name val="Noto Sans CJK SC"/>
      <family val="2"/>
      <charset val="1"/>
    </font>
    <font>
      <b val="true"/>
      <sz val="11"/>
      <color rgb="FFFFFFFF"/>
      <name val="Noto Sans CJK SC"/>
      <family val="2"/>
      <charset val="1"/>
    </font>
    <font>
      <sz val="10"/>
      <color rgb="FF000000"/>
      <name val="游ゴシック"/>
      <family val="0"/>
      <charset val="1"/>
    </font>
    <font>
      <sz val="10"/>
      <color rgb="FF000000"/>
      <name val="Noto Sans CJK SC"/>
      <family val="2"/>
    </font>
    <font>
      <b val="true"/>
      <sz val="10"/>
      <color rgb="FF1F4E79"/>
      <name val="游ゴシック"/>
      <family val="0"/>
      <charset val="1"/>
    </font>
    <font>
      <sz val="10"/>
      <color rgb="FF000000"/>
      <name val="Noto Sans CJK SC"/>
      <family val="2"/>
      <charset val="1"/>
    </font>
    <font>
      <b val="true"/>
      <sz val="10"/>
      <color rgb="FFFFFFFF"/>
      <name val="Noto Sans CJK SC"/>
      <family val="2"/>
      <charset val="1"/>
    </font>
    <font>
      <b val="true"/>
      <sz val="10"/>
      <color rgb="FFFFFFFF"/>
      <name val="游ゴシック"/>
      <family val="0"/>
      <charset val="1"/>
    </font>
    <font>
      <b val="true"/>
      <sz val="10"/>
      <color rgb="FFFFFFFF"/>
      <name val="Noto Sans CJK SC"/>
      <family val="2"/>
    </font>
    <font>
      <sz val="10"/>
      <color rgb="FFFFFFFF"/>
      <name val="游ゴシック"/>
      <family val="0"/>
      <charset val="1"/>
    </font>
    <font>
      <b val="true"/>
      <sz val="12"/>
      <color rgb="FFC00000"/>
      <name val="游ゴシック"/>
      <family val="0"/>
      <charset val="1"/>
    </font>
    <font>
      <i val="true"/>
      <sz val="10"/>
      <color rgb="FFFFCC99"/>
      <name val="Noto Sans CJK SC"/>
      <family val="2"/>
      <charset val="1"/>
    </font>
    <font>
      <b val="true"/>
      <sz val="12"/>
      <color rgb="FF375623"/>
      <name val="游ゴシック"/>
      <family val="0"/>
      <charset val="1"/>
    </font>
    <font>
      <sz val="10"/>
      <color rgb="FFFFFFFF"/>
      <name val="Noto Sans CJK SC"/>
      <family val="2"/>
      <charset val="1"/>
    </font>
    <font>
      <sz val="10"/>
      <name val="游ゴシック"/>
      <family val="0"/>
      <charset val="1"/>
    </font>
    <font>
      <sz val="10"/>
      <name val="Noto Sans CJK SC"/>
      <family val="2"/>
      <charset val="1"/>
    </font>
    <font>
      <b val="true"/>
      <sz val="12"/>
      <color rgb="FF333333"/>
      <name val="游ゴシック"/>
      <family val="0"/>
      <charset val="1"/>
    </font>
    <font>
      <b val="true"/>
      <sz val="12"/>
      <color rgb="FFFFFFFF"/>
      <name val="Noto Sans CJK SC"/>
      <family val="2"/>
      <charset val="1"/>
    </font>
    <font>
      <b val="true"/>
      <sz val="10"/>
      <color rgb="FF000000"/>
      <name val="Noto Sans CJK SC"/>
      <family val="2"/>
      <charset val="1"/>
    </font>
    <font>
      <b val="true"/>
      <sz val="11"/>
      <color rgb="FFC00000"/>
      <name val="游ゴシック"/>
      <family val="0"/>
      <charset val="1"/>
    </font>
    <font>
      <i val="true"/>
      <sz val="10"/>
      <color rgb="FF595959"/>
      <name val="Noto Sans CJK SC"/>
      <family val="2"/>
      <charset val="1"/>
    </font>
    <font>
      <b val="true"/>
      <sz val="11"/>
      <color rgb="FF375623"/>
      <name val="游ゴシック"/>
      <family val="0"/>
      <charset val="1"/>
    </font>
    <font>
      <b val="true"/>
      <sz val="10"/>
      <color rgb="FF375623"/>
      <name val="Noto Sans CJK SC"/>
      <family val="2"/>
      <charset val="1"/>
    </font>
    <font>
      <sz val="10"/>
      <color rgb="FF375623"/>
      <name val="Noto Sans CJK SC"/>
      <family val="2"/>
      <charset val="1"/>
    </font>
    <font>
      <b val="true"/>
      <sz val="11"/>
      <color rgb="FF2E75B6"/>
      <name val="游ゴシック"/>
      <family val="0"/>
      <charset val="1"/>
    </font>
    <font>
      <b val="true"/>
      <sz val="12"/>
      <color rgb="FF2E75B6"/>
      <name val="游ゴシック"/>
      <family val="0"/>
      <charset val="1"/>
    </font>
    <font>
      <b val="true"/>
      <sz val="10"/>
      <color rgb="FF2E75B6"/>
      <name val="Noto Sans CJK SC"/>
      <family val="2"/>
      <charset val="1"/>
    </font>
    <font>
      <sz val="10"/>
      <color rgb="FF2E75B6"/>
      <name val="Noto Sans CJK SC"/>
      <family val="2"/>
      <charset val="1"/>
    </font>
    <font>
      <i val="true"/>
      <sz val="9"/>
      <color rgb="FF595959"/>
      <name val="Noto Sans CJK SC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2F2"/>
        <bgColor rgb="FFE2EFDA"/>
      </patternFill>
    </fill>
    <fill>
      <patternFill patternType="solid">
        <fgColor rgb="FF2E75B6"/>
        <bgColor rgb="FF0066CC"/>
      </patternFill>
    </fill>
    <fill>
      <patternFill patternType="solid">
        <fgColor rgb="FFDEEAF1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7F3F00"/>
        <bgColor rgb="FF993366"/>
      </patternFill>
    </fill>
    <fill>
      <patternFill patternType="solid">
        <fgColor rgb="FFFFFFFF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rgb="FF375623"/>
        <bgColor rgb="FF595959"/>
      </patternFill>
    </fill>
    <fill>
      <patternFill patternType="solid">
        <fgColor rgb="FFE2EFDA"/>
        <bgColor rgb="FFDEEAF1"/>
      </patternFill>
    </fill>
    <fill>
      <patternFill patternType="solid">
        <fgColor rgb="FF595959"/>
        <bgColor rgb="FF375623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7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4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6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3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A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CE4D6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AAAAAA"/>
      <rgbColor rgb="FF003366"/>
      <rgbColor rgb="FF339966"/>
      <rgbColor rgb="FF003300"/>
      <rgbColor rgb="FF375623"/>
      <rgbColor rgb="FF7F3F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2"/>
    <col collapsed="false" customWidth="true" hidden="false" outlineLevel="0" max="6" min="3" style="1" width="16"/>
    <col collapsed="false" customWidth="true" hidden="false" outlineLevel="0" max="7" min="7" style="1" width="4"/>
  </cols>
  <sheetData>
    <row r="1" customFormat="false" ht="31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19.5" hidden="false" customHeight="true" outlineLevel="0" collapsed="false">
      <c r="A2" s="3" t="s">
        <v>1</v>
      </c>
      <c r="B2" s="3"/>
      <c r="C2" s="3"/>
      <c r="D2" s="3"/>
      <c r="E2" s="3"/>
      <c r="F2" s="3"/>
      <c r="G2" s="3"/>
    </row>
    <row r="3" customFormat="false" ht="7.5" hidden="false" customHeight="true" outlineLevel="0" collapsed="false"/>
    <row r="4" customFormat="false" ht="24" hidden="false" customHeight="true" outlineLevel="0" collapsed="false">
      <c r="B4" s="4" t="s">
        <v>2</v>
      </c>
      <c r="C4" s="4"/>
      <c r="D4" s="4"/>
      <c r="E4" s="4"/>
      <c r="F4" s="4"/>
    </row>
    <row r="5" customFormat="false" ht="21.75" hidden="false" customHeight="true" outlineLevel="0" collapsed="false">
      <c r="B5" s="5" t="s">
        <v>3</v>
      </c>
      <c r="C5" s="6" t="n">
        <v>2640</v>
      </c>
      <c r="D5" s="7" t="s">
        <v>4</v>
      </c>
      <c r="E5" s="7"/>
      <c r="F5" s="7"/>
    </row>
    <row r="6" customFormat="false" ht="21.75" hidden="false" customHeight="true" outlineLevel="0" collapsed="false">
      <c r="B6" s="7" t="s">
        <v>5</v>
      </c>
      <c r="C6" s="6" t="n">
        <v>1000</v>
      </c>
      <c r="D6" s="7" t="s">
        <v>4</v>
      </c>
      <c r="E6" s="7"/>
      <c r="F6" s="7"/>
    </row>
    <row r="7" customFormat="false" ht="21.75" hidden="false" customHeight="true" outlineLevel="0" collapsed="false">
      <c r="B7" s="7" t="s">
        <v>6</v>
      </c>
      <c r="C7" s="6" t="n">
        <v>3150</v>
      </c>
      <c r="D7" s="7" t="s">
        <v>7</v>
      </c>
      <c r="E7" s="7"/>
      <c r="F7" s="7"/>
    </row>
    <row r="8" customFormat="false" ht="21.75" hidden="false" customHeight="true" outlineLevel="0" collapsed="false">
      <c r="B8" s="7" t="s">
        <v>8</v>
      </c>
      <c r="C8" s="6" t="n">
        <v>6</v>
      </c>
      <c r="D8" s="7" t="s">
        <v>9</v>
      </c>
      <c r="E8" s="7"/>
      <c r="F8" s="7"/>
    </row>
    <row r="9" customFormat="false" ht="7.5" hidden="false" customHeight="true" outlineLevel="0" collapsed="false"/>
    <row r="10" customFormat="false" ht="25.5" hidden="false" customHeight="true" outlineLevel="0" collapsed="false">
      <c r="B10" s="8" t="s">
        <v>10</v>
      </c>
      <c r="C10" s="8"/>
      <c r="D10" s="8"/>
      <c r="E10" s="8"/>
      <c r="F10" s="8"/>
    </row>
    <row r="11" customFormat="false" ht="21.75" hidden="false" customHeight="true" outlineLevel="0" collapsed="false">
      <c r="B11" s="9" t="s">
        <v>11</v>
      </c>
      <c r="C11" s="9" t="s">
        <v>12</v>
      </c>
      <c r="D11" s="10" t="s">
        <v>13</v>
      </c>
      <c r="E11" s="9" t="s">
        <v>14</v>
      </c>
      <c r="F11" s="9"/>
    </row>
    <row r="12" customFormat="false" ht="21.75" hidden="false" customHeight="true" outlineLevel="0" collapsed="false">
      <c r="B12" s="5" t="s">
        <v>15</v>
      </c>
      <c r="C12" s="11" t="n">
        <f aca="false">C5</f>
        <v>2640</v>
      </c>
      <c r="D12" s="11" t="n">
        <f aca="false">C5*C8</f>
        <v>15840</v>
      </c>
      <c r="E12" s="12" t="s">
        <v>16</v>
      </c>
      <c r="F12" s="12"/>
    </row>
    <row r="13" customFormat="false" ht="21.75" hidden="false" customHeight="true" outlineLevel="0" collapsed="false">
      <c r="B13" s="13" t="s">
        <v>17</v>
      </c>
      <c r="C13" s="14" t="s">
        <v>18</v>
      </c>
      <c r="D13" s="14" t="s">
        <v>18</v>
      </c>
      <c r="E13" s="15" t="s">
        <v>19</v>
      </c>
      <c r="F13" s="15"/>
    </row>
    <row r="14" customFormat="false" ht="21.75" hidden="false" customHeight="true" outlineLevel="0" collapsed="false">
      <c r="B14" s="7" t="s">
        <v>20</v>
      </c>
      <c r="C14" s="11" t="n">
        <f aca="false">C6</f>
        <v>1000</v>
      </c>
      <c r="D14" s="11" t="n">
        <f aca="false">C6*C8</f>
        <v>6000</v>
      </c>
      <c r="E14" s="12" t="s">
        <v>16</v>
      </c>
      <c r="F14" s="12"/>
    </row>
    <row r="15" customFormat="false" ht="24" hidden="false" customHeight="true" outlineLevel="0" collapsed="false">
      <c r="B15" s="16" t="s">
        <v>21</v>
      </c>
      <c r="C15" s="17" t="s">
        <v>22</v>
      </c>
      <c r="D15" s="18" t="n">
        <f aca="false">C12+C13+C14</f>
        <v>3640</v>
      </c>
      <c r="E15" s="19" t="s">
        <v>23</v>
      </c>
      <c r="F15" s="19"/>
    </row>
    <row r="16" customFormat="false" ht="7.5" hidden="false" customHeight="true" outlineLevel="0" collapsed="false"/>
    <row r="17" customFormat="false" ht="25.5" hidden="false" customHeight="true" outlineLevel="0" collapsed="false">
      <c r="B17" s="20" t="s">
        <v>24</v>
      </c>
      <c r="C17" s="20"/>
      <c r="D17" s="20"/>
      <c r="E17" s="20"/>
      <c r="F17" s="20"/>
    </row>
    <row r="18" customFormat="false" ht="21.75" hidden="false" customHeight="true" outlineLevel="0" collapsed="false">
      <c r="B18" s="9" t="s">
        <v>11</v>
      </c>
      <c r="C18" s="9" t="s">
        <v>12</v>
      </c>
      <c r="D18" s="10" t="s">
        <v>13</v>
      </c>
      <c r="E18" s="9" t="s">
        <v>14</v>
      </c>
      <c r="F18" s="9"/>
    </row>
    <row r="19" customFormat="false" ht="21.75" hidden="false" customHeight="true" outlineLevel="0" collapsed="false">
      <c r="B19" s="5" t="s">
        <v>15</v>
      </c>
      <c r="C19" s="11" t="s">
        <v>18</v>
      </c>
      <c r="D19" s="11" t="s">
        <v>18</v>
      </c>
      <c r="E19" s="12" t="s">
        <v>25</v>
      </c>
      <c r="F19" s="12"/>
    </row>
    <row r="20" customFormat="false" ht="21.75" hidden="false" customHeight="true" outlineLevel="0" collapsed="false">
      <c r="B20" s="13" t="s">
        <v>26</v>
      </c>
      <c r="C20" s="14" t="n">
        <f aca="false">C7</f>
        <v>3150</v>
      </c>
      <c r="D20" s="14" t="n">
        <f aca="false">C7</f>
        <v>3150</v>
      </c>
      <c r="E20" s="21" t="s">
        <v>27</v>
      </c>
      <c r="F20" s="21"/>
    </row>
    <row r="21" customFormat="false" ht="21.75" hidden="false" customHeight="true" outlineLevel="0" collapsed="false">
      <c r="B21" s="7" t="s">
        <v>20</v>
      </c>
      <c r="C21" s="11" t="n">
        <f aca="false">C6</f>
        <v>1000</v>
      </c>
      <c r="D21" s="11" t="n">
        <f aca="false">C6*C8</f>
        <v>6000</v>
      </c>
      <c r="E21" s="12" t="s">
        <v>16</v>
      </c>
      <c r="F21" s="12"/>
    </row>
    <row r="22" customFormat="false" ht="24" hidden="false" customHeight="true" outlineLevel="0" collapsed="false">
      <c r="B22" s="22" t="s">
        <v>21</v>
      </c>
      <c r="C22" s="23" t="s">
        <v>22</v>
      </c>
      <c r="D22" s="24" t="n">
        <f aca="false">C19+C20+C21</f>
        <v>4150</v>
      </c>
      <c r="E22" s="25" t="s">
        <v>28</v>
      </c>
      <c r="F22" s="26" t="n">
        <f aca="false">D22-D15</f>
        <v>510</v>
      </c>
    </row>
    <row r="23" customFormat="false" ht="7.5" hidden="false" customHeight="true" outlineLevel="0" collapsed="false"/>
    <row r="24" customFormat="false" ht="25.5" hidden="false" customHeight="true" outlineLevel="0" collapsed="false">
      <c r="B24" s="27" t="s">
        <v>29</v>
      </c>
      <c r="C24" s="27"/>
      <c r="D24" s="27"/>
      <c r="E24" s="27"/>
      <c r="F24" s="27"/>
    </row>
    <row r="25" customFormat="false" ht="21.75" hidden="false" customHeight="true" outlineLevel="0" collapsed="false">
      <c r="B25" s="9" t="s">
        <v>11</v>
      </c>
      <c r="C25" s="9" t="s">
        <v>12</v>
      </c>
      <c r="D25" s="9" t="s">
        <v>30</v>
      </c>
      <c r="E25" s="9" t="s">
        <v>14</v>
      </c>
      <c r="F25" s="9"/>
    </row>
    <row r="26" customFormat="false" ht="21.75" hidden="false" customHeight="true" outlineLevel="0" collapsed="false">
      <c r="B26" s="5" t="s">
        <v>31</v>
      </c>
      <c r="C26" s="28" t="n">
        <f aca="false">C5</f>
        <v>2640</v>
      </c>
      <c r="D26" s="29" t="s">
        <v>32</v>
      </c>
      <c r="E26" s="30" t="s">
        <v>33</v>
      </c>
      <c r="F26" s="30"/>
    </row>
    <row r="27" customFormat="false" ht="21.75" hidden="false" customHeight="true" outlineLevel="0" collapsed="false">
      <c r="B27" s="13" t="s">
        <v>34</v>
      </c>
      <c r="C27" s="31" t="s">
        <v>18</v>
      </c>
      <c r="D27" s="31" t="s">
        <v>18</v>
      </c>
      <c r="E27" s="21" t="s">
        <v>35</v>
      </c>
      <c r="F27" s="21"/>
    </row>
    <row r="28" customFormat="false" ht="21.75" hidden="false" customHeight="true" outlineLevel="0" collapsed="false">
      <c r="B28" s="7" t="s">
        <v>20</v>
      </c>
      <c r="C28" s="28" t="n">
        <f aca="false">C6</f>
        <v>1000</v>
      </c>
      <c r="D28" s="28" t="n">
        <f aca="false">C6*C8</f>
        <v>6000</v>
      </c>
      <c r="E28" s="12" t="s">
        <v>36</v>
      </c>
      <c r="F28" s="12"/>
    </row>
    <row r="29" customFormat="false" ht="21.75" hidden="false" customHeight="true" outlineLevel="0" collapsed="false">
      <c r="B29" s="32" t="s">
        <v>37</v>
      </c>
      <c r="C29" s="31" t="s">
        <v>18</v>
      </c>
      <c r="D29" s="31" t="s">
        <v>18</v>
      </c>
      <c r="E29" s="15" t="s">
        <v>38</v>
      </c>
      <c r="F29" s="15"/>
    </row>
    <row r="30" customFormat="false" ht="24" hidden="false" customHeight="true" outlineLevel="0" collapsed="false">
      <c r="B30" s="33" t="s">
        <v>21</v>
      </c>
      <c r="C30" s="34" t="s">
        <v>22</v>
      </c>
      <c r="D30" s="35" t="n">
        <f aca="false">C5+0+C6*C8</f>
        <v>8640</v>
      </c>
      <c r="E30" s="36" t="s">
        <v>28</v>
      </c>
      <c r="F30" s="37" t="n">
        <f aca="false">D30-D15</f>
        <v>5000</v>
      </c>
    </row>
    <row r="31" customFormat="false" ht="7.5" hidden="false" customHeight="true" outlineLevel="0" collapsed="false"/>
    <row r="32" customFormat="false" ht="25.5" hidden="false" customHeight="true" outlineLevel="0" collapsed="false">
      <c r="B32" s="38" t="s">
        <v>39</v>
      </c>
      <c r="C32" s="38"/>
      <c r="D32" s="38"/>
      <c r="E32" s="38"/>
      <c r="F32" s="38"/>
    </row>
    <row r="33" customFormat="false" ht="21.75" hidden="false" customHeight="true" outlineLevel="0" collapsed="false">
      <c r="B33" s="9" t="s">
        <v>40</v>
      </c>
      <c r="C33" s="10" t="s">
        <v>41</v>
      </c>
      <c r="D33" s="9" t="s">
        <v>42</v>
      </c>
      <c r="E33" s="9" t="s">
        <v>43</v>
      </c>
      <c r="F33" s="9" t="s">
        <v>14</v>
      </c>
    </row>
    <row r="34" customFormat="false" ht="24" hidden="false" customHeight="true" outlineLevel="0" collapsed="false">
      <c r="B34" s="39" t="s">
        <v>44</v>
      </c>
      <c r="C34" s="40" t="n">
        <f aca="false">D15</f>
        <v>3640</v>
      </c>
      <c r="D34" s="41" t="s">
        <v>22</v>
      </c>
      <c r="E34" s="41" t="s">
        <v>22</v>
      </c>
      <c r="F34" s="42" t="s">
        <v>45</v>
      </c>
    </row>
    <row r="35" customFormat="false" ht="24" hidden="false" customHeight="true" outlineLevel="0" collapsed="false">
      <c r="B35" s="43" t="s">
        <v>46</v>
      </c>
      <c r="C35" s="44" t="n">
        <f aca="false">D22</f>
        <v>4150</v>
      </c>
      <c r="D35" s="26" t="n">
        <f aca="false">C35-C34</f>
        <v>510</v>
      </c>
      <c r="E35" s="45" t="str">
        <f aca="false">IF(C22&lt;C15,"▼ 減少","△ 増加")</f>
        <v>△ 増加</v>
      </c>
      <c r="F35" s="46" t="s">
        <v>47</v>
      </c>
    </row>
    <row r="36" customFormat="false" ht="24" hidden="false" customHeight="true" outlineLevel="0" collapsed="false">
      <c r="B36" s="47" t="s">
        <v>48</v>
      </c>
      <c r="C36" s="48" t="n">
        <f aca="false">D30</f>
        <v>8640</v>
      </c>
      <c r="D36" s="49" t="n">
        <f aca="false">C36-C34</f>
        <v>5000</v>
      </c>
      <c r="E36" s="50" t="str">
        <f aca="false">IF(D30&lt;C15,"▼ 減少","△ 増加")</f>
        <v>▼ 減少</v>
      </c>
      <c r="F36" s="51" t="s">
        <v>49</v>
      </c>
    </row>
    <row r="37" customFormat="false" ht="7.5" hidden="false" customHeight="true" outlineLevel="0" collapsed="false"/>
    <row r="38" customFormat="false" ht="27.75" hidden="false" customHeight="true" outlineLevel="0" collapsed="false">
      <c r="B38" s="52" t="s">
        <v>50</v>
      </c>
      <c r="C38" s="52"/>
      <c r="D38" s="52"/>
      <c r="E38" s="52"/>
      <c r="F38" s="52"/>
    </row>
  </sheetData>
  <mergeCells count="23">
    <mergeCell ref="A1:G1"/>
    <mergeCell ref="A2:G2"/>
    <mergeCell ref="B4:F4"/>
    <mergeCell ref="D5:F5"/>
    <mergeCell ref="D6:F6"/>
    <mergeCell ref="D7:F7"/>
    <mergeCell ref="D8:F8"/>
    <mergeCell ref="B10:F10"/>
    <mergeCell ref="E12:F12"/>
    <mergeCell ref="E13:F13"/>
    <mergeCell ref="E14:F14"/>
    <mergeCell ref="E15:F15"/>
    <mergeCell ref="B17:F17"/>
    <mergeCell ref="E19:F19"/>
    <mergeCell ref="E20:F20"/>
    <mergeCell ref="E21:F21"/>
    <mergeCell ref="B24:F24"/>
    <mergeCell ref="E26:F26"/>
    <mergeCell ref="E27:F27"/>
    <mergeCell ref="E28:F28"/>
    <mergeCell ref="E29:F29"/>
    <mergeCell ref="B32:F32"/>
    <mergeCell ref="B38:F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2026-03-12T00:20:41Z</dcterms:created>
  <dc:creator>openpyxl</dc:creator>
  <dc:description/>
  <dc:language>en-US</dc:language>
  <cp:lastModifiedBy/>
  <dcterms:modified xsi:type="dcterms:W3CDTF">2026-03-12T00:21:27Z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